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eo23564_bristol_ac_uk/Documents/AVDASI/structures/"/>
    </mc:Choice>
  </mc:AlternateContent>
  <xr:revisionPtr revIDLastSave="8" documentId="8_{1458A7CD-031A-409D-8FD5-4DAAF583AF87}" xr6:coauthVersionLast="47" xr6:coauthVersionMax="47" xr10:uidLastSave="{D14CBE78-0478-4A15-A16D-63B4C60A7340}"/>
  <bookViews>
    <workbookView xWindow="-108" yWindow="-108" windowWidth="23256" windowHeight="12456" xr2:uid="{87B7403F-2143-4433-A23D-48C2AA27E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  <c r="C4" i="1"/>
  <c r="C3" i="1"/>
  <c r="L17" i="1"/>
  <c r="AB8" i="1" l="1"/>
  <c r="AB7" i="1"/>
  <c r="AB6" i="1"/>
  <c r="AB5" i="1"/>
  <c r="AB4" i="1"/>
  <c r="AB3" i="1"/>
  <c r="AA8" i="1"/>
  <c r="AA7" i="1"/>
  <c r="AA6" i="1"/>
  <c r="AA5" i="1"/>
  <c r="AA4" i="1"/>
  <c r="AA3" i="1"/>
  <c r="L8" i="1"/>
  <c r="L7" i="1"/>
  <c r="L6" i="1"/>
  <c r="L5" i="1"/>
  <c r="L4" i="1"/>
  <c r="L3" i="1"/>
  <c r="J3" i="1"/>
  <c r="J7" i="1"/>
  <c r="J5" i="1"/>
  <c r="J4" i="1"/>
  <c r="J6" i="1"/>
  <c r="J8" i="1"/>
  <c r="M8" i="1"/>
  <c r="M7" i="1"/>
  <c r="F21" i="1"/>
  <c r="J17" i="1"/>
  <c r="M6" i="1" l="1"/>
  <c r="M5" i="1"/>
  <c r="M4" i="1"/>
  <c r="M3" i="1"/>
  <c r="D25" i="1"/>
  <c r="G25" i="1" s="1"/>
  <c r="J25" i="1" s="1"/>
  <c r="T4" i="1" s="1"/>
  <c r="AC4" i="1" s="1"/>
  <c r="AG4" i="1" s="1"/>
  <c r="C25" i="1"/>
  <c r="F25" i="1" s="1"/>
  <c r="I25" i="1" s="1"/>
  <c r="B25" i="1"/>
  <c r="E25" i="1" s="1"/>
  <c r="T6" i="1" l="1"/>
  <c r="AC6" i="1" s="1"/>
  <c r="AG6" i="1" s="1"/>
  <c r="T3" i="1"/>
  <c r="AC3" i="1" s="1"/>
  <c r="AG3" i="1" s="1"/>
  <c r="T7" i="1"/>
  <c r="AC7" i="1" s="1"/>
  <c r="AG7" i="1" s="1"/>
  <c r="T5" i="1"/>
  <c r="AC5" i="1" s="1"/>
  <c r="AG5" i="1" s="1"/>
  <c r="T8" i="1"/>
  <c r="AC8" i="1" s="1"/>
  <c r="AG8" i="1" s="1"/>
  <c r="H25" i="1"/>
  <c r="E3" i="1"/>
  <c r="E7" i="1"/>
  <c r="E5" i="1"/>
  <c r="E6" i="1"/>
  <c r="E4" i="1"/>
  <c r="E8" i="1"/>
  <c r="D5" i="1"/>
  <c r="D3" i="1"/>
  <c r="D7" i="1"/>
  <c r="D4" i="1"/>
  <c r="D6" i="1"/>
  <c r="D8" i="1"/>
  <c r="N5" i="1" l="1"/>
  <c r="V5" i="1"/>
  <c r="V4" i="1"/>
  <c r="V8" i="1"/>
  <c r="V7" i="1"/>
  <c r="V3" i="1"/>
  <c r="V6" i="1"/>
  <c r="O4" i="1"/>
  <c r="O5" i="1"/>
  <c r="O3" i="1"/>
  <c r="K25" i="1"/>
  <c r="O8" i="1"/>
  <c r="N4" i="1"/>
  <c r="O6" i="1"/>
  <c r="N7" i="1"/>
  <c r="N6" i="1"/>
  <c r="O7" i="1"/>
  <c r="N8" i="1"/>
  <c r="N3" i="1"/>
  <c r="P3" i="1" s="1"/>
  <c r="G8" i="1"/>
  <c r="X3" i="1" l="1"/>
  <c r="AD3" i="1"/>
  <c r="AH3" i="1" s="1"/>
  <c r="X8" i="1"/>
  <c r="AD8" i="1"/>
  <c r="AH8" i="1" s="1"/>
  <c r="X6" i="1"/>
  <c r="AD6" i="1"/>
  <c r="AH6" i="1" s="1"/>
  <c r="X7" i="1"/>
  <c r="AD7" i="1"/>
  <c r="AH7" i="1" s="1"/>
  <c r="X4" i="1"/>
  <c r="AD4" i="1"/>
  <c r="AH4" i="1" s="1"/>
  <c r="X5" i="1"/>
  <c r="AD5" i="1"/>
  <c r="AH5" i="1" s="1"/>
  <c r="P8" i="1"/>
  <c r="P6" i="1"/>
  <c r="P5" i="1"/>
  <c r="P7" i="1"/>
  <c r="P4" i="1"/>
  <c r="G4" i="1"/>
  <c r="F4" i="1"/>
  <c r="F5" i="1"/>
  <c r="G5" i="1"/>
  <c r="G7" i="1"/>
  <c r="F7" i="1"/>
  <c r="F3" i="1"/>
  <c r="G3" i="1"/>
  <c r="G6" i="1"/>
  <c r="F6" i="1"/>
  <c r="F8" i="1"/>
  <c r="AE8" i="1" l="1"/>
  <c r="AI8" i="1"/>
  <c r="AE7" i="1"/>
  <c r="AI7" i="1"/>
  <c r="AE6" i="1"/>
  <c r="AI6" i="1"/>
  <c r="AE5" i="1"/>
  <c r="AI5" i="1"/>
  <c r="AE4" i="1"/>
  <c r="AI4" i="1"/>
  <c r="AE3" i="1"/>
  <c r="AI3" i="1"/>
</calcChain>
</file>

<file path=xl/sharedStrings.xml><?xml version="1.0" encoding="utf-8"?>
<sst xmlns="http://schemas.openxmlformats.org/spreadsheetml/2006/main" count="96" uniqueCount="73">
  <si>
    <t>no of ribs</t>
  </si>
  <si>
    <t>Flap span (m)</t>
  </si>
  <si>
    <t>Flap chord (m)</t>
  </si>
  <si>
    <t>Air density (kg m^-3)</t>
  </si>
  <si>
    <t>Velocity (ms^-1)</t>
  </si>
  <si>
    <t>C_l Max</t>
  </si>
  <si>
    <t>C_d Max</t>
  </si>
  <si>
    <t>C_m Max</t>
  </si>
  <si>
    <t>Aerodynamic Centre from leading edge (m)</t>
  </si>
  <si>
    <t xml:space="preserve">General Info </t>
  </si>
  <si>
    <t>Material Info</t>
  </si>
  <si>
    <t>Safety factor</t>
  </si>
  <si>
    <t>Reserved factor</t>
  </si>
  <si>
    <t>Space between ribs (m)</t>
  </si>
  <si>
    <t>Lift per rib</t>
  </si>
  <si>
    <t>Torsion per rib</t>
  </si>
  <si>
    <t>Forward rib lift</t>
  </si>
  <si>
    <t>aft rib lift</t>
  </si>
  <si>
    <t xml:space="preserve">(Assumed)Flap surface area </t>
  </si>
  <si>
    <t>basic flap lift</t>
  </si>
  <si>
    <t>basic flap drag</t>
  </si>
  <si>
    <t>basic flap moment</t>
  </si>
  <si>
    <t>loaded flap lift</t>
  </si>
  <si>
    <t>loaded flap drag</t>
  </si>
  <si>
    <t>loaded flap moment</t>
  </si>
  <si>
    <t>Ultimate load</t>
  </si>
  <si>
    <t>Spar diameter (m)</t>
  </si>
  <si>
    <t>Stiffness Checks</t>
  </si>
  <si>
    <t>Total deflection</t>
  </si>
  <si>
    <t>Shear deflection</t>
  </si>
  <si>
    <t>Is total deflection greater than allowed deflection?</t>
  </si>
  <si>
    <t>Strength Checks</t>
  </si>
  <si>
    <t>Shear Modulus G_xy</t>
  </si>
  <si>
    <t>Flap thickness (m)</t>
  </si>
  <si>
    <t>E of sheet</t>
  </si>
  <si>
    <t>Ultimate drag</t>
  </si>
  <si>
    <t>Ultimate moment</t>
  </si>
  <si>
    <t>Aerodynamic info</t>
  </si>
  <si>
    <r>
      <t xml:space="preserve">If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>, change width of flange</t>
    </r>
  </si>
  <si>
    <t>Effective Shear Area (m^2)</t>
  </si>
  <si>
    <t>Stability</t>
  </si>
  <si>
    <t>Critical bending stress</t>
  </si>
  <si>
    <t>Allowed bending stress</t>
  </si>
  <si>
    <t>Allowed shear stress</t>
  </si>
  <si>
    <t>Allowed total deflection</t>
  </si>
  <si>
    <t>Poisson's ratio</t>
  </si>
  <si>
    <t>density</t>
  </si>
  <si>
    <t>width of flange(m)</t>
  </si>
  <si>
    <t>Bending deflection</t>
  </si>
  <si>
    <t>knockdown factor</t>
  </si>
  <si>
    <t>width of web</t>
  </si>
  <si>
    <t>Second moment of area (m^4)</t>
  </si>
  <si>
    <t>no</t>
  </si>
  <si>
    <t>Max shear force</t>
  </si>
  <si>
    <t>K_c</t>
  </si>
  <si>
    <r>
      <t xml:space="preserve">If </t>
    </r>
    <r>
      <rPr>
        <b/>
        <sz val="11"/>
        <rFont val="Calibri"/>
        <family val="2"/>
        <scheme val="minor"/>
      </rPr>
      <t>YES</t>
    </r>
    <r>
      <rPr>
        <sz val="11"/>
        <rFont val="Calibri"/>
        <family val="2"/>
        <scheme val="minor"/>
      </rPr>
      <t>, change width of flange</t>
    </r>
  </si>
  <si>
    <t>Plywood thickness</t>
  </si>
  <si>
    <t>Panel Bending stress</t>
  </si>
  <si>
    <t>FI</t>
  </si>
  <si>
    <t>Panel shear stress</t>
  </si>
  <si>
    <t>K_b</t>
  </si>
  <si>
    <t>Critical shear stress</t>
  </si>
  <si>
    <t>R_b</t>
  </si>
  <si>
    <t>R_s</t>
  </si>
  <si>
    <t>combined failure criterion</t>
  </si>
  <si>
    <t>FI&gt;1 ?</t>
  </si>
  <si>
    <t xml:space="preserve"> FI &gt; 1 ?</t>
  </si>
  <si>
    <t>free edge  R_b</t>
  </si>
  <si>
    <t>free edge R_s</t>
  </si>
  <si>
    <t>free edge rib combined failure criterion</t>
  </si>
  <si>
    <t>FI&gt;1?</t>
  </si>
  <si>
    <t>yes</t>
  </si>
  <si>
    <t>I was using ultimate load, the actual would only be 2/3 of this, so shd be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</si>
</sst>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11" fontId="2" fillId="0" borderId="0" xfId="0" applyNumberFormat="1" applyFont="1" applyAlignment="1">
      <alignment vertical="center" wrapText="1"/>
    </xf>
    <xf numFmtId="11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11" fontId="3" fillId="0" borderId="0" xfId="0" applyNumberFormat="1" applyFont="1" applyAlignment="1">
      <alignment vertical="top"/>
    </xf>
    <xf numFmtId="11" fontId="0" fillId="0" borderId="0" xfId="0" applyNumberFormat="1" applyAlignment="1">
      <alignment vertical="top"/>
    </xf>
    <xf numFmtId="0" fontId="6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6111-2DB5-474A-B0BD-EAB22FD63C2D}">
  <dimension ref="A1:AV30"/>
  <sheetViews>
    <sheetView tabSelected="1" topLeftCell="G1" zoomScale="115" zoomScaleNormal="115" workbookViewId="0">
      <selection activeCell="AK9" sqref="AK9"/>
    </sheetView>
  </sheetViews>
  <sheetFormatPr defaultRowHeight="14.4" x14ac:dyDescent="0.3"/>
  <cols>
    <col min="1" max="1" width="12.5546875" customWidth="1"/>
    <col min="2" max="2" width="14" customWidth="1"/>
    <col min="3" max="3" width="9.44140625" customWidth="1"/>
    <col min="4" max="4" width="9.5546875" bestFit="1" customWidth="1"/>
    <col min="7" max="7" width="12.44140625" customWidth="1"/>
    <col min="8" max="8" width="11.88671875" customWidth="1"/>
    <col min="9" max="9" width="13.5546875" customWidth="1"/>
    <col min="10" max="10" width="14.44140625" customWidth="1"/>
    <col min="11" max="11" width="12" customWidth="1"/>
    <col min="12" max="12" width="18.77734375" customWidth="1"/>
    <col min="13" max="13" width="9.88671875" customWidth="1"/>
    <col min="14" max="14" width="9.77734375" customWidth="1"/>
    <col min="15" max="15" width="11.21875" customWidth="1"/>
    <col min="16" max="16" width="11" customWidth="1"/>
    <col min="17" max="17" width="11.44140625" customWidth="1"/>
    <col min="18" max="18" width="15.88671875" customWidth="1"/>
    <col min="19" max="19" width="12.88671875" customWidth="1"/>
    <col min="20" max="20" width="10.6640625" customWidth="1"/>
    <col min="21" max="21" width="9.5546875" customWidth="1"/>
    <col min="22" max="22" width="11.44140625" customWidth="1"/>
    <col min="23" max="23" width="10.5546875" customWidth="1"/>
    <col min="24" max="24" width="9.88671875" customWidth="1"/>
    <col min="25" max="25" width="13.21875" customWidth="1"/>
    <col min="26" max="26" width="16.33203125" customWidth="1"/>
    <col min="27" max="27" width="12.44140625" customWidth="1"/>
    <col min="28" max="28" width="13.21875" customWidth="1"/>
    <col min="29" max="30" width="10.33203125" customWidth="1"/>
    <col min="31" max="31" width="10.77734375" customWidth="1"/>
    <col min="32" max="32" width="14.109375" customWidth="1"/>
    <col min="35" max="35" width="12.21875" customWidth="1"/>
    <col min="37" max="37" width="11.109375" customWidth="1"/>
    <col min="38" max="38" width="11.44140625" customWidth="1"/>
    <col min="39" max="39" width="21.88671875" customWidth="1"/>
    <col min="40" max="40" width="10" customWidth="1"/>
  </cols>
  <sheetData>
    <row r="1" spans="1:48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3"/>
      <c r="AC1" s="3"/>
      <c r="AD1" s="3"/>
      <c r="AE1" s="3"/>
      <c r="AF1" s="3"/>
      <c r="AG1" s="3"/>
    </row>
    <row r="2" spans="1:48" ht="78.599999999999994" customHeight="1" x14ac:dyDescent="0.3">
      <c r="A2" s="4"/>
      <c r="B2" s="7" t="s">
        <v>0</v>
      </c>
      <c r="C2" s="7" t="s">
        <v>13</v>
      </c>
      <c r="D2" s="7" t="s">
        <v>15</v>
      </c>
      <c r="E2" s="7" t="s">
        <v>14</v>
      </c>
      <c r="F2" s="7" t="s">
        <v>16</v>
      </c>
      <c r="G2" s="7" t="s">
        <v>17</v>
      </c>
      <c r="H2" s="22" t="s">
        <v>27</v>
      </c>
      <c r="I2" s="15" t="s">
        <v>56</v>
      </c>
      <c r="J2" s="15" t="s">
        <v>47</v>
      </c>
      <c r="K2" s="15" t="s">
        <v>50</v>
      </c>
      <c r="L2" s="15" t="s">
        <v>51</v>
      </c>
      <c r="M2" s="15" t="s">
        <v>39</v>
      </c>
      <c r="N2" s="7" t="s">
        <v>48</v>
      </c>
      <c r="O2" s="7" t="s">
        <v>29</v>
      </c>
      <c r="P2" s="7" t="s">
        <v>28</v>
      </c>
      <c r="Q2" s="10" t="s">
        <v>44</v>
      </c>
      <c r="R2" s="15" t="s">
        <v>30</v>
      </c>
      <c r="S2" s="22" t="s">
        <v>31</v>
      </c>
      <c r="T2" s="7" t="s">
        <v>57</v>
      </c>
      <c r="U2" s="10" t="s">
        <v>42</v>
      </c>
      <c r="V2" s="7" t="s">
        <v>59</v>
      </c>
      <c r="W2" s="10" t="s">
        <v>43</v>
      </c>
      <c r="X2" s="15" t="s">
        <v>58</v>
      </c>
      <c r="Y2" s="15" t="s">
        <v>66</v>
      </c>
      <c r="Z2" s="22" t="s">
        <v>40</v>
      </c>
      <c r="AA2" s="15" t="s">
        <v>41</v>
      </c>
      <c r="AB2" s="15" t="s">
        <v>61</v>
      </c>
      <c r="AC2" s="15" t="s">
        <v>62</v>
      </c>
      <c r="AD2" s="15" t="s">
        <v>63</v>
      </c>
      <c r="AE2" s="15" t="s">
        <v>64</v>
      </c>
      <c r="AF2" s="7" t="s">
        <v>65</v>
      </c>
      <c r="AG2" s="7" t="s">
        <v>67</v>
      </c>
      <c r="AH2" s="7" t="s">
        <v>68</v>
      </c>
      <c r="AI2" s="7" t="s">
        <v>69</v>
      </c>
      <c r="AJ2" s="7" t="s">
        <v>70</v>
      </c>
      <c r="AK2" s="7"/>
      <c r="AL2" s="7"/>
      <c r="AM2" s="7"/>
      <c r="AN2" s="7"/>
      <c r="AO2" s="7"/>
      <c r="AP2" s="7"/>
      <c r="AQ2" s="7"/>
      <c r="AR2" s="8"/>
      <c r="AS2" s="8"/>
      <c r="AT2" s="8"/>
      <c r="AU2" s="8"/>
    </row>
    <row r="3" spans="1:48" ht="18" customHeight="1" x14ac:dyDescent="0.3">
      <c r="A3" s="4"/>
      <c r="B3" s="7">
        <v>3</v>
      </c>
      <c r="C3" s="7">
        <f>0.3/3</f>
        <v>9.9999999999999992E-2</v>
      </c>
      <c r="D3" s="7">
        <f>E25*K17/B3</f>
        <v>0.89155386534375014</v>
      </c>
      <c r="E3" s="7">
        <f>E25*C3/B17</f>
        <v>127.36483790625002</v>
      </c>
      <c r="F3" s="7">
        <f t="shared" ref="F3:F7" si="0">E3*0.25</f>
        <v>31.841209476562504</v>
      </c>
      <c r="G3" s="7">
        <f t="shared" ref="G3:G7" si="1">0.75*E3</f>
        <v>95.523628429687506</v>
      </c>
      <c r="H3" s="22"/>
      <c r="I3" s="14">
        <v>4.0000000000000001E-3</v>
      </c>
      <c r="J3" s="14">
        <f>0.003+I3</f>
        <v>7.0000000000000001E-3</v>
      </c>
      <c r="K3" s="14">
        <v>0.12</v>
      </c>
      <c r="L3" s="9">
        <f>I3*(K3^3)/12</f>
        <v>5.7599999999999997E-7</v>
      </c>
      <c r="M3" s="14">
        <f>I3*K3</f>
        <v>4.8000000000000001E-4</v>
      </c>
      <c r="N3" s="9">
        <f>5*H25*(K3^3)/(384*L3*B21)</f>
        <v>3.0545535729869726E-6</v>
      </c>
      <c r="O3" s="9">
        <f>H25*K3/(C21*M3)</f>
        <v>1.524313219622673E-4</v>
      </c>
      <c r="P3" s="12">
        <f>(N3+O3)*1.2</f>
        <v>1.8658305064230514E-4</v>
      </c>
      <c r="Q3" s="23">
        <v>3.5000000000000001E-3</v>
      </c>
      <c r="R3" s="21" t="s">
        <v>52</v>
      </c>
      <c r="S3" s="22"/>
      <c r="T3" s="12">
        <f>2*J25*K3/(2*L3)</f>
        <v>2865708.8528906251</v>
      </c>
      <c r="U3" s="23">
        <v>48000000</v>
      </c>
      <c r="V3" s="16">
        <f>2*H25/M3</f>
        <v>2388090.7107421882</v>
      </c>
      <c r="W3" s="23">
        <v>13000000</v>
      </c>
      <c r="X3" s="4">
        <f xml:space="preserve"> (T3/U3)^2 + 2*(V3/W3)^2</f>
        <v>7.1055215720295523E-2</v>
      </c>
      <c r="Y3" s="14" t="s">
        <v>52</v>
      </c>
      <c r="Z3" s="22"/>
      <c r="AA3" s="17">
        <f>I21*B21*(I3^2)/(K3^2)</f>
        <v>195453333.33333334</v>
      </c>
      <c r="AB3" s="17">
        <f>J21*B21*(I3^2)/(K3^2)</f>
        <v>44791388.888888888</v>
      </c>
      <c r="AC3" s="17">
        <f>T3/AA3</f>
        <v>1.4661857150337463E-2</v>
      </c>
      <c r="AD3" s="17">
        <f>V3/AB3</f>
        <v>5.3315844183045337E-2</v>
      </c>
      <c r="AE3" s="4">
        <f>AC3^2+AD3^2</f>
        <v>3.0575492960476713E-3</v>
      </c>
      <c r="AF3" s="3" t="s">
        <v>52</v>
      </c>
      <c r="AG3" s="18">
        <f>AC3*10</f>
        <v>0.14661857150337462</v>
      </c>
      <c r="AH3" s="18">
        <f>AD3*10</f>
        <v>0.53315844183045336</v>
      </c>
      <c r="AI3" s="3">
        <f>AG3^2+AH3^2</f>
        <v>0.30575492960476713</v>
      </c>
      <c r="AJ3" s="24" t="s">
        <v>52</v>
      </c>
      <c r="AK3" s="7"/>
      <c r="AL3" s="7"/>
      <c r="AM3" s="7"/>
      <c r="AN3" s="7"/>
      <c r="AO3" s="7"/>
      <c r="AP3" s="8"/>
      <c r="AQ3" s="8"/>
      <c r="AR3" s="8"/>
      <c r="AS3" s="8"/>
    </row>
    <row r="4" spans="1:48" x14ac:dyDescent="0.3">
      <c r="A4" s="4"/>
      <c r="B4" s="4">
        <v>3</v>
      </c>
      <c r="C4" s="4">
        <f>0.3/3</f>
        <v>9.9999999999999992E-2</v>
      </c>
      <c r="D4" s="4">
        <f>E25*K17/B4</f>
        <v>0.89155386534375014</v>
      </c>
      <c r="E4" s="4">
        <f>E25*C4/B17</f>
        <v>127.36483790625002</v>
      </c>
      <c r="F4" s="4">
        <f t="shared" si="0"/>
        <v>31.841209476562504</v>
      </c>
      <c r="G4" s="4">
        <f t="shared" si="1"/>
        <v>95.523628429687506</v>
      </c>
      <c r="H4" s="22"/>
      <c r="I4" s="14">
        <v>3.0000000000000001E-3</v>
      </c>
      <c r="J4" s="14">
        <f t="shared" ref="J4:J8" si="2">0.003+I4</f>
        <v>6.0000000000000001E-3</v>
      </c>
      <c r="K4" s="14">
        <v>0.12</v>
      </c>
      <c r="L4" s="9">
        <f t="shared" ref="L4:L8" si="3">I4*(K4^3)/12</f>
        <v>4.32E-7</v>
      </c>
      <c r="M4" s="14">
        <f t="shared" ref="M4:M8" si="4">I4*K4</f>
        <v>3.5999999999999997E-4</v>
      </c>
      <c r="N4" s="9">
        <f>5*H25*(K4^3)/(384*L4*B21)</f>
        <v>4.0727380973159632E-6</v>
      </c>
      <c r="O4" s="9">
        <f>H25*K4/(C21*M4)</f>
        <v>2.0324176261635643E-4</v>
      </c>
      <c r="P4" s="12">
        <f t="shared" ref="P4:P8" si="5">(N4+O4)*1.2</f>
        <v>2.4877740085640687E-4</v>
      </c>
      <c r="Q4" s="23"/>
      <c r="R4" s="21" t="s">
        <v>52</v>
      </c>
      <c r="S4" s="22"/>
      <c r="T4" s="12">
        <f>2*J25*K4/(2*L4)</f>
        <v>3820945.1371875</v>
      </c>
      <c r="U4" s="23"/>
      <c r="V4" s="16">
        <f>2*H25/M4</f>
        <v>3184120.947656251</v>
      </c>
      <c r="W4" s="23"/>
      <c r="X4" s="4">
        <f xml:space="preserve"> (T4/U3)^2 + 2*(V4/W3)^2</f>
        <v>0.12632038350274763</v>
      </c>
      <c r="Y4" s="14" t="s">
        <v>52</v>
      </c>
      <c r="Z4" s="22"/>
      <c r="AA4" s="17">
        <f>I21*B21*(I4^2)/(K4^2)</f>
        <v>109942500</v>
      </c>
      <c r="AB4" s="17">
        <f>J21*B21*(I4^2)/(K4^2)</f>
        <v>25195156.25</v>
      </c>
      <c r="AC4" s="17">
        <f t="shared" ref="AC4:AC8" si="6">T4/AA4</f>
        <v>3.4754031763762877E-2</v>
      </c>
      <c r="AD4" s="17">
        <f t="shared" ref="AD4:AD8" si="7">V4/AB4</f>
        <v>0.12637829732277414</v>
      </c>
      <c r="AE4" s="4">
        <f t="shared" ref="AE4:AE8" si="8">AC4^2+AD4^2</f>
        <v>1.7179316758040141E-2</v>
      </c>
      <c r="AF4" s="3" t="s">
        <v>52</v>
      </c>
      <c r="AG4" s="18">
        <f t="shared" ref="AG4:AG8" si="9">AC4*10</f>
        <v>0.34754031763762877</v>
      </c>
      <c r="AH4" s="18">
        <f t="shared" ref="AH4:AH8" si="10">AD4*10</f>
        <v>1.2637829732277415</v>
      </c>
      <c r="AI4" s="3">
        <f t="shared" ref="AI4:AI8" si="11">AG4^2+AH4^2</f>
        <v>1.7179316758040142</v>
      </c>
      <c r="AJ4" s="24" t="s">
        <v>71</v>
      </c>
      <c r="AK4" s="7"/>
      <c r="AL4" s="7"/>
      <c r="AM4" s="7"/>
      <c r="AN4" s="7"/>
      <c r="AO4" s="7"/>
      <c r="AP4" s="8"/>
      <c r="AQ4" s="8"/>
      <c r="AR4" s="8"/>
      <c r="AS4" s="8"/>
    </row>
    <row r="5" spans="1:48" x14ac:dyDescent="0.3">
      <c r="A5" s="4"/>
      <c r="B5" s="4">
        <v>4</v>
      </c>
      <c r="C5" s="4">
        <f>0.3/4</f>
        <v>7.4999999999999997E-2</v>
      </c>
      <c r="D5" s="4">
        <f>E25*K17/B5</f>
        <v>0.66866539900781263</v>
      </c>
      <c r="E5" s="4">
        <f>E25*C5/B17</f>
        <v>95.52362842968752</v>
      </c>
      <c r="F5" s="4">
        <f t="shared" si="0"/>
        <v>23.88090710742188</v>
      </c>
      <c r="G5" s="4">
        <f t="shared" si="1"/>
        <v>71.642721322265643</v>
      </c>
      <c r="H5" s="22"/>
      <c r="I5" s="14">
        <v>4.0000000000000001E-3</v>
      </c>
      <c r="J5" s="14">
        <f t="shared" si="2"/>
        <v>7.0000000000000001E-3</v>
      </c>
      <c r="K5" s="14">
        <v>0.12</v>
      </c>
      <c r="L5" s="9">
        <f t="shared" si="3"/>
        <v>5.7599999999999997E-7</v>
      </c>
      <c r="M5" s="14">
        <f t="shared" si="4"/>
        <v>4.8000000000000001E-4</v>
      </c>
      <c r="N5" s="9">
        <f>5*H25*(K5^3)/(384*L5*B21)</f>
        <v>3.0545535729869726E-6</v>
      </c>
      <c r="O5" s="9">
        <f>H25*K5/(C21*M5)</f>
        <v>1.524313219622673E-4</v>
      </c>
      <c r="P5" s="12">
        <f t="shared" si="5"/>
        <v>1.8658305064230514E-4</v>
      </c>
      <c r="Q5" s="23"/>
      <c r="R5" s="21" t="s">
        <v>52</v>
      </c>
      <c r="S5" s="22"/>
      <c r="T5" s="12">
        <f>2*J25*K5/(2*L5)</f>
        <v>2865708.8528906251</v>
      </c>
      <c r="U5" s="23"/>
      <c r="V5" s="16">
        <f>2*H25/M5</f>
        <v>2388090.7107421882</v>
      </c>
      <c r="W5" s="23"/>
      <c r="X5" s="4">
        <f xml:space="preserve"> (T5/U3)^2 + 2*(V5/W3)^2</f>
        <v>7.1055215720295523E-2</v>
      </c>
      <c r="Y5" s="14" t="s">
        <v>52</v>
      </c>
      <c r="Z5" s="22"/>
      <c r="AA5" s="17">
        <f>I21*B21*(I5^2)/(K5^2)</f>
        <v>195453333.33333334</v>
      </c>
      <c r="AB5" s="17">
        <f>J21*B21*(I5^2)/(K5^2)</f>
        <v>44791388.888888888</v>
      </c>
      <c r="AC5" s="17">
        <f t="shared" si="6"/>
        <v>1.4661857150337463E-2</v>
      </c>
      <c r="AD5" s="17">
        <f t="shared" si="7"/>
        <v>5.3315844183045337E-2</v>
      </c>
      <c r="AE5" s="4">
        <f t="shared" si="8"/>
        <v>3.0575492960476713E-3</v>
      </c>
      <c r="AF5" s="3" t="s">
        <v>52</v>
      </c>
      <c r="AG5" s="18">
        <f t="shared" si="9"/>
        <v>0.14661857150337462</v>
      </c>
      <c r="AH5" s="18">
        <f t="shared" si="10"/>
        <v>0.53315844183045336</v>
      </c>
      <c r="AI5" s="3">
        <f t="shared" si="11"/>
        <v>0.30575492960476713</v>
      </c>
      <c r="AJ5" s="24" t="s">
        <v>52</v>
      </c>
      <c r="AK5" s="7"/>
      <c r="AL5" s="7"/>
      <c r="AM5" s="7"/>
      <c r="AN5" s="7"/>
      <c r="AO5" s="7"/>
      <c r="AP5" s="8"/>
      <c r="AQ5" s="8"/>
      <c r="AR5" s="8"/>
      <c r="AS5" s="8"/>
    </row>
    <row r="6" spans="1:48" x14ac:dyDescent="0.3">
      <c r="A6" s="4"/>
      <c r="B6" s="4">
        <v>4</v>
      </c>
      <c r="C6" s="4">
        <f>0.3/4</f>
        <v>7.4999999999999997E-2</v>
      </c>
      <c r="D6" s="4">
        <f>E25*K17/B6</f>
        <v>0.66866539900781263</v>
      </c>
      <c r="E6" s="4">
        <f>E25*C6/B17</f>
        <v>95.52362842968752</v>
      </c>
      <c r="F6" s="4">
        <f t="shared" si="0"/>
        <v>23.88090710742188</v>
      </c>
      <c r="G6" s="4">
        <f t="shared" si="1"/>
        <v>71.642721322265643</v>
      </c>
      <c r="H6" s="22"/>
      <c r="I6" s="14">
        <v>3.0000000000000001E-3</v>
      </c>
      <c r="J6" s="14">
        <f t="shared" si="2"/>
        <v>6.0000000000000001E-3</v>
      </c>
      <c r="K6" s="14">
        <v>0.12</v>
      </c>
      <c r="L6" s="9">
        <f t="shared" si="3"/>
        <v>4.32E-7</v>
      </c>
      <c r="M6" s="14">
        <f t="shared" si="4"/>
        <v>3.5999999999999997E-4</v>
      </c>
      <c r="N6" s="9">
        <f>5*H25*(K6^3)/(384*L6*B21)</f>
        <v>4.0727380973159632E-6</v>
      </c>
      <c r="O6" s="9">
        <f>H25*K6/(C21*M6)</f>
        <v>2.0324176261635643E-4</v>
      </c>
      <c r="P6" s="12">
        <f t="shared" si="5"/>
        <v>2.4877740085640687E-4</v>
      </c>
      <c r="Q6" s="23"/>
      <c r="R6" s="21" t="s">
        <v>52</v>
      </c>
      <c r="S6" s="22"/>
      <c r="T6" s="12">
        <f>2*J25*K6/(2*L6)</f>
        <v>3820945.1371875</v>
      </c>
      <c r="U6" s="23"/>
      <c r="V6" s="16">
        <f>2*H25/M6</f>
        <v>3184120.947656251</v>
      </c>
      <c r="W6" s="23"/>
      <c r="X6" s="4">
        <f xml:space="preserve"> (T6/U3)^2 + 2*(V6/W3)^2</f>
        <v>0.12632038350274763</v>
      </c>
      <c r="Y6" s="14" t="s">
        <v>52</v>
      </c>
      <c r="Z6" s="22"/>
      <c r="AA6" s="17">
        <f>I21*B21*(I6^2)/(K6^2)</f>
        <v>109942500</v>
      </c>
      <c r="AB6" s="17">
        <f>J21*B21*(I6^2)/(K6^2)</f>
        <v>25195156.25</v>
      </c>
      <c r="AC6" s="17">
        <f t="shared" si="6"/>
        <v>3.4754031763762877E-2</v>
      </c>
      <c r="AD6" s="17">
        <f t="shared" si="7"/>
        <v>0.12637829732277414</v>
      </c>
      <c r="AE6" s="4">
        <f t="shared" si="8"/>
        <v>1.7179316758040141E-2</v>
      </c>
      <c r="AF6" s="3" t="s">
        <v>52</v>
      </c>
      <c r="AG6" s="18">
        <f t="shared" si="9"/>
        <v>0.34754031763762877</v>
      </c>
      <c r="AH6" s="18">
        <f t="shared" si="10"/>
        <v>1.2637829732277415</v>
      </c>
      <c r="AI6" s="3">
        <f t="shared" si="11"/>
        <v>1.7179316758040142</v>
      </c>
      <c r="AJ6" s="24" t="s">
        <v>71</v>
      </c>
      <c r="AK6" s="7"/>
      <c r="AL6" s="7"/>
      <c r="AM6" s="7"/>
      <c r="AN6" s="7"/>
      <c r="AO6" s="7"/>
      <c r="AP6" s="8"/>
      <c r="AQ6" s="8"/>
      <c r="AR6" s="8"/>
      <c r="AS6" s="8"/>
    </row>
    <row r="7" spans="1:48" x14ac:dyDescent="0.3">
      <c r="A7" s="4"/>
      <c r="B7" s="4">
        <v>5</v>
      </c>
      <c r="C7" s="4">
        <f>0.3/5</f>
        <v>0.06</v>
      </c>
      <c r="D7" s="4">
        <f>E25*K17/B7</f>
        <v>0.53493231920625006</v>
      </c>
      <c r="E7" s="4">
        <f>E25*C7/B17</f>
        <v>76.41890274375001</v>
      </c>
      <c r="F7" s="4">
        <f t="shared" si="0"/>
        <v>19.104725685937503</v>
      </c>
      <c r="G7" s="4">
        <f t="shared" si="1"/>
        <v>57.314177057812508</v>
      </c>
      <c r="H7" s="22"/>
      <c r="I7" s="14">
        <v>4.0000000000000001E-3</v>
      </c>
      <c r="J7" s="14">
        <f t="shared" si="2"/>
        <v>7.0000000000000001E-3</v>
      </c>
      <c r="K7" s="14">
        <v>0.12</v>
      </c>
      <c r="L7" s="9">
        <f t="shared" si="3"/>
        <v>5.7599999999999997E-7</v>
      </c>
      <c r="M7" s="14">
        <f t="shared" si="4"/>
        <v>4.8000000000000001E-4</v>
      </c>
      <c r="N7" s="9">
        <f>5*H25*(K7^3)/(384*L7*B21)</f>
        <v>3.0545535729869726E-6</v>
      </c>
      <c r="O7" s="9">
        <f>H25*K7/(C21*M7)</f>
        <v>1.524313219622673E-4</v>
      </c>
      <c r="P7" s="12">
        <f t="shared" si="5"/>
        <v>1.8658305064230514E-4</v>
      </c>
      <c r="Q7" s="23"/>
      <c r="R7" s="21" t="s">
        <v>52</v>
      </c>
      <c r="S7" s="22"/>
      <c r="T7" s="12">
        <f>2*J25*K7/(2*L7)</f>
        <v>2865708.8528906251</v>
      </c>
      <c r="U7" s="23"/>
      <c r="V7" s="16">
        <f>2*H25/M7</f>
        <v>2388090.7107421882</v>
      </c>
      <c r="W7" s="23"/>
      <c r="X7" s="4">
        <f xml:space="preserve"> (T7/U3)^2 + 2*(V7/W3)^2</f>
        <v>7.1055215720295523E-2</v>
      </c>
      <c r="Y7" s="14" t="s">
        <v>52</v>
      </c>
      <c r="Z7" s="22"/>
      <c r="AA7" s="17">
        <f>I21*B21*(I7^2)/(K7^2)</f>
        <v>195453333.33333334</v>
      </c>
      <c r="AB7" s="17">
        <f>J21*B21*(I7^2)/(K7^2)</f>
        <v>44791388.888888888</v>
      </c>
      <c r="AC7" s="17">
        <f t="shared" si="6"/>
        <v>1.4661857150337463E-2</v>
      </c>
      <c r="AD7" s="17">
        <f t="shared" si="7"/>
        <v>5.3315844183045337E-2</v>
      </c>
      <c r="AE7" s="4">
        <f t="shared" si="8"/>
        <v>3.0575492960476713E-3</v>
      </c>
      <c r="AF7" s="3" t="s">
        <v>52</v>
      </c>
      <c r="AG7" s="18">
        <f t="shared" si="9"/>
        <v>0.14661857150337462</v>
      </c>
      <c r="AH7" s="18">
        <f t="shared" si="10"/>
        <v>0.53315844183045336</v>
      </c>
      <c r="AI7" s="3">
        <f t="shared" si="11"/>
        <v>0.30575492960476713</v>
      </c>
      <c r="AJ7" s="24" t="s">
        <v>52</v>
      </c>
      <c r="AK7" s="7"/>
      <c r="AL7" s="7"/>
      <c r="AM7" s="7"/>
      <c r="AN7" s="7"/>
      <c r="AO7" s="7"/>
      <c r="AP7" s="7"/>
      <c r="AQ7" s="8"/>
      <c r="AR7" s="8"/>
      <c r="AS7" s="8"/>
      <c r="AT7" s="8"/>
    </row>
    <row r="8" spans="1:48" x14ac:dyDescent="0.3">
      <c r="A8" s="4"/>
      <c r="B8" s="4">
        <v>5</v>
      </c>
      <c r="C8" s="4">
        <f>0.3/5</f>
        <v>0.06</v>
      </c>
      <c r="D8" s="4">
        <f>E25*K17/B8</f>
        <v>0.53493231920625006</v>
      </c>
      <c r="E8" s="4">
        <f>E25*C8/B17</f>
        <v>76.41890274375001</v>
      </c>
      <c r="F8" s="4">
        <f t="shared" ref="F8" si="12">E8*0.25</f>
        <v>19.104725685937503</v>
      </c>
      <c r="G8" s="4">
        <f>0.75*E8</f>
        <v>57.314177057812508</v>
      </c>
      <c r="H8" s="22"/>
      <c r="I8" s="14">
        <v>3.0000000000000001E-3</v>
      </c>
      <c r="J8" s="14">
        <f t="shared" si="2"/>
        <v>6.0000000000000001E-3</v>
      </c>
      <c r="K8" s="14">
        <v>0.12</v>
      </c>
      <c r="L8" s="9">
        <f t="shared" si="3"/>
        <v>4.32E-7</v>
      </c>
      <c r="M8" s="14">
        <f t="shared" si="4"/>
        <v>3.5999999999999997E-4</v>
      </c>
      <c r="N8" s="9">
        <f>5*H25*(K8^3)/(384*L8*B21)</f>
        <v>4.0727380973159632E-6</v>
      </c>
      <c r="O8" s="9">
        <f>H25*K8/(C21*M8)</f>
        <v>2.0324176261635643E-4</v>
      </c>
      <c r="P8" s="12">
        <f t="shared" si="5"/>
        <v>2.4877740085640687E-4</v>
      </c>
      <c r="Q8" s="23"/>
      <c r="R8" s="21" t="s">
        <v>52</v>
      </c>
      <c r="S8" s="22"/>
      <c r="T8" s="12">
        <f>2*J25*K8/(2*L8)</f>
        <v>3820945.1371875</v>
      </c>
      <c r="U8" s="23"/>
      <c r="V8" s="16">
        <f>2*H25/M8</f>
        <v>3184120.947656251</v>
      </c>
      <c r="W8" s="23"/>
      <c r="X8" s="4">
        <f xml:space="preserve"> (T8/U3)^2 + 2*(V8/W3)^2</f>
        <v>0.12632038350274763</v>
      </c>
      <c r="Y8" s="14" t="s">
        <v>52</v>
      </c>
      <c r="Z8" s="22"/>
      <c r="AA8" s="17">
        <f>I21*B21*(I8^2)/(K8^2)</f>
        <v>109942500</v>
      </c>
      <c r="AB8" s="17">
        <f>J21*B21*(I8^2)/(K8^2)</f>
        <v>25195156.25</v>
      </c>
      <c r="AC8" s="17">
        <f t="shared" si="6"/>
        <v>3.4754031763762877E-2</v>
      </c>
      <c r="AD8" s="17">
        <f t="shared" si="7"/>
        <v>0.12637829732277414</v>
      </c>
      <c r="AE8" s="4">
        <f t="shared" si="8"/>
        <v>1.7179316758040141E-2</v>
      </c>
      <c r="AF8" s="3" t="s">
        <v>52</v>
      </c>
      <c r="AG8" s="18">
        <f t="shared" si="9"/>
        <v>0.34754031763762877</v>
      </c>
      <c r="AH8" s="18">
        <f t="shared" si="10"/>
        <v>1.2637829732277415</v>
      </c>
      <c r="AI8" s="3">
        <f t="shared" si="11"/>
        <v>1.7179316758040142</v>
      </c>
      <c r="AJ8" s="24" t="s">
        <v>71</v>
      </c>
      <c r="AK8" s="7"/>
      <c r="AL8" s="7"/>
      <c r="AM8" s="7"/>
      <c r="AN8" s="7"/>
      <c r="AO8" s="7"/>
      <c r="AP8" s="7"/>
      <c r="AQ8" s="8"/>
      <c r="AR8" s="8"/>
      <c r="AS8" s="8"/>
      <c r="AT8" s="8"/>
    </row>
    <row r="9" spans="1:48" ht="60.6" customHeight="1" x14ac:dyDescent="0.3">
      <c r="A9" s="4"/>
      <c r="B9" s="4"/>
      <c r="C9" s="4"/>
      <c r="D9" s="4"/>
      <c r="E9" s="4"/>
      <c r="F9" s="4"/>
      <c r="G9" s="4"/>
      <c r="H9" s="4"/>
      <c r="I9" s="4"/>
      <c r="J9" s="13"/>
      <c r="K9" s="4"/>
      <c r="L9" s="4"/>
      <c r="M9" s="4"/>
      <c r="N9" s="4"/>
      <c r="O9" s="4"/>
      <c r="P9" s="11"/>
      <c r="Q9" s="4"/>
      <c r="R9" s="14" t="s">
        <v>55</v>
      </c>
      <c r="S9" s="4"/>
      <c r="T9" s="4"/>
      <c r="U9" s="4"/>
      <c r="V9" s="4"/>
      <c r="W9" s="4"/>
      <c r="X9" s="4"/>
      <c r="Y9" s="14" t="s">
        <v>55</v>
      </c>
      <c r="Z9" s="5"/>
      <c r="AA9" s="4"/>
      <c r="AB9" s="4"/>
      <c r="AC9" s="4"/>
      <c r="AD9" s="4"/>
      <c r="AE9" s="4"/>
      <c r="AF9" s="4" t="s">
        <v>38</v>
      </c>
      <c r="AG9" s="4"/>
      <c r="AH9" s="4"/>
      <c r="AI9" s="4"/>
      <c r="AJ9" s="3"/>
      <c r="AK9" s="19" t="s">
        <v>72</v>
      </c>
      <c r="AL9" s="19"/>
      <c r="AM9" s="7"/>
      <c r="AN9" s="7"/>
      <c r="AO9" s="7"/>
      <c r="AP9" s="7"/>
      <c r="AQ9" s="7"/>
      <c r="AR9" s="7"/>
      <c r="AS9" s="8"/>
      <c r="AT9" s="8"/>
      <c r="AU9" s="8"/>
      <c r="AV9" s="8"/>
    </row>
    <row r="10" spans="1:48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5"/>
      <c r="W10" s="5"/>
      <c r="X10" s="5"/>
      <c r="Y10" s="3"/>
      <c r="Z10" s="3"/>
      <c r="AA10" s="3"/>
      <c r="AB10" s="3"/>
      <c r="AC10" s="7"/>
      <c r="AD10" s="7"/>
      <c r="AE10" s="7"/>
      <c r="AF10" s="7"/>
      <c r="AG10" s="7"/>
      <c r="AH10" s="7"/>
      <c r="AI10" s="7"/>
      <c r="AJ10" s="7"/>
      <c r="AK10" s="8"/>
      <c r="AL10" s="8"/>
      <c r="AM10" s="8"/>
      <c r="AN10" s="8"/>
    </row>
    <row r="11" spans="1:4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5"/>
      <c r="W11" s="5"/>
      <c r="X11" s="5"/>
      <c r="Y11" s="3"/>
      <c r="Z11" s="3"/>
      <c r="AA11" s="3"/>
      <c r="AB11" s="3"/>
      <c r="AC11" s="5"/>
      <c r="AD11" s="1"/>
      <c r="AE11" s="1"/>
      <c r="AF11" s="1"/>
      <c r="AG11" s="1"/>
      <c r="AH11" s="1"/>
      <c r="AI11" s="1"/>
      <c r="AJ11" s="1"/>
    </row>
    <row r="12" spans="1:4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/>
      <c r="W12" s="5"/>
      <c r="X12" s="5"/>
      <c r="Y12" s="3"/>
      <c r="Z12" s="3"/>
      <c r="AA12" s="3"/>
      <c r="AB12" s="3"/>
      <c r="AC12" s="3"/>
    </row>
    <row r="13" spans="1:4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5"/>
      <c r="W13" s="5"/>
      <c r="X13" s="5"/>
      <c r="Y13" s="3"/>
      <c r="Z13" s="3"/>
      <c r="AA13" s="3"/>
      <c r="AB13" s="3"/>
      <c r="AC13" s="3"/>
    </row>
    <row r="14" spans="1:4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5"/>
      <c r="X14" s="5"/>
      <c r="Y14" s="3"/>
      <c r="Z14" s="3"/>
      <c r="AA14" s="3"/>
      <c r="AB14" s="3"/>
      <c r="AC14" s="3"/>
    </row>
    <row r="15" spans="1:4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5"/>
      <c r="W15" s="5"/>
      <c r="X15" s="5"/>
      <c r="Y15" s="3"/>
      <c r="Z15" s="3"/>
      <c r="AA15" s="3"/>
      <c r="AB15" s="3"/>
      <c r="AC15" s="3"/>
    </row>
    <row r="16" spans="1:48" ht="48" customHeight="1" x14ac:dyDescent="0.3">
      <c r="A16" s="6" t="s">
        <v>9</v>
      </c>
      <c r="B16" s="4" t="s">
        <v>1</v>
      </c>
      <c r="C16" s="4" t="s">
        <v>2</v>
      </c>
      <c r="D16" s="4" t="s">
        <v>33</v>
      </c>
      <c r="E16" s="4" t="s">
        <v>3</v>
      </c>
      <c r="F16" s="4" t="s">
        <v>4</v>
      </c>
      <c r="G16" s="4" t="s">
        <v>5</v>
      </c>
      <c r="H16" s="4" t="s">
        <v>6</v>
      </c>
      <c r="I16" s="4" t="s">
        <v>7</v>
      </c>
      <c r="J16" s="4" t="s">
        <v>8</v>
      </c>
      <c r="K16" s="4" t="s">
        <v>26</v>
      </c>
      <c r="L16" s="6" t="s">
        <v>18</v>
      </c>
      <c r="M16" s="4"/>
      <c r="N16" s="4"/>
      <c r="O16" s="4"/>
      <c r="P16" s="4"/>
      <c r="Q16" s="4"/>
      <c r="R16" s="4"/>
      <c r="S16" s="4"/>
      <c r="T16" s="5"/>
      <c r="U16" s="5"/>
      <c r="V16" s="5"/>
      <c r="W16" s="3"/>
      <c r="X16" s="3"/>
      <c r="Y16" s="3"/>
      <c r="Z16" s="3"/>
      <c r="AA16" s="3"/>
    </row>
    <row r="17" spans="1:29" x14ac:dyDescent="0.3">
      <c r="A17" s="6"/>
      <c r="B17" s="4">
        <v>0.3</v>
      </c>
      <c r="C17" s="4">
        <v>0.12</v>
      </c>
      <c r="D17" s="4">
        <v>4.8000000000000001E-2</v>
      </c>
      <c r="E17" s="4">
        <v>1.2250000000000001</v>
      </c>
      <c r="F17" s="4">
        <v>30</v>
      </c>
      <c r="G17" s="4">
        <v>1.5</v>
      </c>
      <c r="H17" s="4">
        <v>0.1</v>
      </c>
      <c r="I17" s="4">
        <v>0.3</v>
      </c>
      <c r="J17" s="4">
        <f>0.25*C17</f>
        <v>0.03</v>
      </c>
      <c r="K17" s="4">
        <v>7.0000000000000001E-3</v>
      </c>
      <c r="L17" s="4">
        <f>0.1026877*0.75</f>
        <v>7.7015775000000009E-2</v>
      </c>
      <c r="M17" s="4"/>
      <c r="N17" s="4"/>
      <c r="O17" s="4"/>
      <c r="P17" s="4"/>
      <c r="Q17" s="4"/>
      <c r="R17" s="4"/>
      <c r="S17" s="4"/>
      <c r="T17" s="5"/>
      <c r="U17" s="5"/>
      <c r="V17" s="5"/>
      <c r="W17" s="3"/>
      <c r="X17" s="3"/>
      <c r="Y17" s="3"/>
      <c r="Z17" s="3"/>
      <c r="AA17" s="3"/>
    </row>
    <row r="18" spans="1:29" x14ac:dyDescent="0.3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/>
      <c r="W18" s="5"/>
      <c r="X18" s="5"/>
      <c r="Y18" s="3"/>
      <c r="Z18" s="3"/>
      <c r="AA18" s="3"/>
      <c r="AB18" s="3"/>
      <c r="AC18" s="3"/>
    </row>
    <row r="19" spans="1:29" x14ac:dyDescent="0.3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/>
      <c r="W19" s="5"/>
      <c r="X19" s="5"/>
      <c r="Y19" s="3"/>
      <c r="Z19" s="3"/>
      <c r="AA19" s="3"/>
      <c r="AB19" s="3"/>
      <c r="AC19" s="3"/>
    </row>
    <row r="20" spans="1:29" ht="46.2" customHeight="1" x14ac:dyDescent="0.3">
      <c r="A20" s="6" t="s">
        <v>10</v>
      </c>
      <c r="B20" s="14" t="s">
        <v>34</v>
      </c>
      <c r="C20" s="14" t="s">
        <v>32</v>
      </c>
      <c r="D20" s="14" t="s">
        <v>45</v>
      </c>
      <c r="E20" s="4" t="s">
        <v>11</v>
      </c>
      <c r="F20" s="4" t="s">
        <v>12</v>
      </c>
      <c r="G20" s="4" t="s">
        <v>46</v>
      </c>
      <c r="H20" s="4" t="s">
        <v>49</v>
      </c>
      <c r="I20" s="14" t="s">
        <v>60</v>
      </c>
      <c r="J20" s="4" t="s">
        <v>54</v>
      </c>
      <c r="K20" s="4"/>
      <c r="L20" s="4"/>
      <c r="M20" s="4"/>
      <c r="N20" s="4"/>
      <c r="O20" s="4"/>
      <c r="P20" s="4"/>
      <c r="Q20" s="4"/>
      <c r="R20" s="4"/>
      <c r="S20" s="4"/>
      <c r="T20" s="5"/>
      <c r="U20" s="5"/>
      <c r="V20" s="5"/>
      <c r="W20" s="3"/>
      <c r="X20" s="3"/>
      <c r="Y20" s="3"/>
      <c r="Z20" s="3"/>
      <c r="AA20" s="3"/>
    </row>
    <row r="21" spans="1:29" ht="18" customHeight="1" x14ac:dyDescent="0.3">
      <c r="A21" s="6"/>
      <c r="B21" s="20">
        <v>7329500000</v>
      </c>
      <c r="C21" s="20">
        <v>940000000</v>
      </c>
      <c r="D21" s="14">
        <v>3.3000000000000002E-2</v>
      </c>
      <c r="E21" s="4">
        <v>1.5</v>
      </c>
      <c r="F21" s="4">
        <f>0.007*0.5</f>
        <v>3.5000000000000001E-3</v>
      </c>
      <c r="G21" s="4">
        <v>1.1000000000000001</v>
      </c>
      <c r="H21" s="4">
        <v>1.2</v>
      </c>
      <c r="I21" s="14">
        <v>24</v>
      </c>
      <c r="J21" s="4">
        <v>5.5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3"/>
      <c r="Y21" s="3"/>
      <c r="Z21" s="3"/>
      <c r="AA21" s="3"/>
      <c r="AB21" s="3"/>
    </row>
    <row r="22" spans="1:29" x14ac:dyDescent="0.3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3"/>
      <c r="Z22" s="3"/>
      <c r="AA22" s="3"/>
      <c r="AB22" s="3"/>
      <c r="AC22" s="3"/>
    </row>
    <row r="23" spans="1:29" x14ac:dyDescent="0.3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5"/>
      <c r="W23" s="5"/>
      <c r="X23" s="5"/>
      <c r="Y23" s="3"/>
      <c r="Z23" s="3"/>
      <c r="AA23" s="3"/>
      <c r="AB23" s="3"/>
      <c r="AC23" s="3"/>
    </row>
    <row r="24" spans="1:29" ht="28.8" x14ac:dyDescent="0.3">
      <c r="A24" s="6" t="s">
        <v>37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23</v>
      </c>
      <c r="G24" s="4" t="s">
        <v>24</v>
      </c>
      <c r="H24" s="4" t="s">
        <v>25</v>
      </c>
      <c r="I24" s="4" t="s">
        <v>35</v>
      </c>
      <c r="J24" s="4" t="s">
        <v>36</v>
      </c>
      <c r="K24" s="4" t="s">
        <v>53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5"/>
      <c r="W24" s="5"/>
      <c r="X24" s="5"/>
      <c r="Y24" s="3"/>
      <c r="Z24" s="3"/>
      <c r="AA24" s="3"/>
      <c r="AB24" s="3"/>
      <c r="AC24" s="3"/>
    </row>
    <row r="25" spans="1:29" x14ac:dyDescent="0.3">
      <c r="A25" s="6"/>
      <c r="B25" s="4">
        <f>G17*0.5*E17*(F17^2)*L17</f>
        <v>63.682418953125016</v>
      </c>
      <c r="C25" s="4">
        <f>H17*0.5*E17*(F17^2)*L17</f>
        <v>4.2454945968750009</v>
      </c>
      <c r="D25" s="4">
        <f>I17*0.5*E17*(F17^2)*L17*C17</f>
        <v>1.5283780548750001</v>
      </c>
      <c r="E25" s="4">
        <f>6*B25</f>
        <v>382.09451371875008</v>
      </c>
      <c r="F25" s="4">
        <f>6*C25</f>
        <v>25.472967581250003</v>
      </c>
      <c r="G25" s="4">
        <f>6*D25</f>
        <v>9.1702683292499998</v>
      </c>
      <c r="H25" s="4">
        <f>1.5*E25</f>
        <v>573.14177057812515</v>
      </c>
      <c r="I25" s="4">
        <f>1.5*F25</f>
        <v>38.209451371875005</v>
      </c>
      <c r="J25" s="4">
        <f>1.5*G25</f>
        <v>13.755402493875</v>
      </c>
      <c r="K25" s="4">
        <f>H25</f>
        <v>573.14177057812515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5"/>
      <c r="W25" s="5"/>
      <c r="X25" s="5"/>
      <c r="Y25" s="3"/>
      <c r="Z25" s="3"/>
      <c r="AA25" s="3"/>
      <c r="AB25" s="3"/>
      <c r="AC25" s="3"/>
    </row>
    <row r="26" spans="1:29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5"/>
      <c r="W26" s="5"/>
      <c r="X26" s="5"/>
      <c r="Y26" s="3"/>
      <c r="Z26" s="3"/>
      <c r="AA26" s="3"/>
      <c r="AB26" s="3"/>
      <c r="AC26" s="3"/>
    </row>
    <row r="27" spans="1:29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  <c r="W27" s="5"/>
      <c r="X27" s="5"/>
      <c r="Y27" s="3"/>
      <c r="Z27" s="3"/>
      <c r="AA27" s="3"/>
      <c r="AB27" s="3"/>
      <c r="AC27" s="3"/>
    </row>
    <row r="28" spans="1:2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"/>
      <c r="W28" s="1"/>
      <c r="X28" s="1"/>
    </row>
    <row r="29" spans="1:2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</sheetData>
  <mergeCells count="6">
    <mergeCell ref="Q3:Q8"/>
    <mergeCell ref="U3:U8"/>
    <mergeCell ref="H2:H8"/>
    <mergeCell ref="S2:S8"/>
    <mergeCell ref="Z2:Z8"/>
    <mergeCell ref="W3:W8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浩然 袁</dc:creator>
  <cp:lastModifiedBy>Anson Yuen</cp:lastModifiedBy>
  <dcterms:created xsi:type="dcterms:W3CDTF">2025-11-15T23:08:17Z</dcterms:created>
  <dcterms:modified xsi:type="dcterms:W3CDTF">2026-04-09T14:08:17Z</dcterms:modified>
</cp:coreProperties>
</file>